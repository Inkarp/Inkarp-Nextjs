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ath\Desktop\Inkarp-Nextjs\outputs\"/>
    </mc:Choice>
  </mc:AlternateContent>
  <bookViews>
    <workbookView xWindow="240" yWindow="12" windowWidth="16092" windowHeight="9660" activeTab="1"/>
  </bookViews>
  <sheets>
    <sheet name="Executive Summary" sheetId="1" r:id="rId1"/>
    <sheet name="Detailed Plan" sheetId="2" r:id="rId2"/>
    <sheet name="Roadmap" sheetId="3" r:id="rId3"/>
  </sheets>
  <calcPr calcId="162913"/>
</workbook>
</file>

<file path=xl/calcChain.xml><?xml version="1.0" encoding="utf-8"?>
<calcChain xmlns="http://schemas.openxmlformats.org/spreadsheetml/2006/main">
  <c r="D12" i="3" l="1"/>
  <c r="C12" i="3"/>
  <c r="B12" i="3"/>
  <c r="D11" i="3"/>
  <c r="C11" i="3"/>
  <c r="B11" i="3"/>
  <c r="D10" i="3"/>
  <c r="C10" i="3"/>
  <c r="B10" i="3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<sst xmlns="http://schemas.openxmlformats.org/spreadsheetml/2006/main" count="380" uniqueCount="287">
  <si>
    <t>Inkarp Homepage Solution Finder — Improvement Plan</t>
  </si>
  <si>
    <t>Manager-ready plan to make the finder simple, trustworthy, accessible, measurable, and easy to maintain.</t>
  </si>
  <si>
    <t>Management view</t>
  </si>
  <si>
    <t>Count</t>
  </si>
  <si>
    <t>Total actions</t>
  </si>
  <si>
    <t>High priority</t>
  </si>
  <si>
    <t>Medium priority</t>
  </si>
  <si>
    <t>Now: 0–2 weeks</t>
  </si>
  <si>
    <t>Next: 2–6 weeks</t>
  </si>
  <si>
    <t>Later: 6–12 weeks</t>
  </si>
  <si>
    <t>Recommended decision</t>
  </si>
  <si>
    <t>Approve the ‘Now’ work first. It removes the biggest confusion: technical starting questions, long forms, early contact requests, missing ‘Not sure’ options, unclear progress, mobile issues, duplicate submissions, and privacy concerns.</t>
  </si>
  <si>
    <t>Success means more visitors finish, recommendations are trusted, mobile performs close to desktop, and products can be updated without breaking the journey.</t>
  </si>
  <si>
    <t>Approval requested</t>
  </si>
  <si>
    <t>1) Approve the 0–2 week usability work. 2) Assign a product owner and analytics owner. 3) Review completion, recommendation quality, and qualified leads monthly. 4) Schedule catalogue governance before adding many more products.</t>
  </si>
  <si>
    <t>Detailed Improvement Scenarios</t>
  </si>
  <si>
    <t>Filter by priority, phase, owner, effort, or status. Every row includes a simple user example.</t>
  </si>
  <si>
    <t>ID</t>
  </si>
  <si>
    <t>Area</t>
  </si>
  <si>
    <t>User scenario</t>
  </si>
  <si>
    <t>Current problem</t>
  </si>
  <si>
    <t>Possible user reaction</t>
  </si>
  <si>
    <t>Recommended improvement</t>
  </si>
  <si>
    <t>Simple example</t>
  </si>
  <si>
    <t>Priority</t>
  </si>
  <si>
    <t>Effort</t>
  </si>
  <si>
    <t>Phase</t>
  </si>
  <si>
    <t>Owner</t>
  </si>
  <si>
    <t>Success measure</t>
  </si>
  <si>
    <t>Future protection</t>
  </si>
  <si>
    <t>Status</t>
  </si>
  <si>
    <t>SF-01</t>
  </si>
  <si>
    <t>Starting question</t>
  </si>
  <si>
    <t>Visitor does not know the correct product category.</t>
  </si>
  <si>
    <t>The first question is technical or too broad.</t>
  </si>
  <si>
    <t>Leaves early or selects the wrong category.</t>
  </si>
  <si>
    <t>Start with the visitor goal and show 5–7 common goals plus “I am not sure.”</t>
  </si>
  <si>
    <t>“Measure pH” → show pH choices, then ask sample type.</t>
  </si>
  <si>
    <t>High</t>
  </si>
  <si>
    <t>Medium</t>
  </si>
  <si>
    <t>Now (0–2 weeks)</t>
  </si>
  <si>
    <t>UX + Product</t>
  </si>
  <si>
    <t>75%+ start rate; fewer step-1 exits.</t>
  </si>
  <si>
    <t>Maintain goals in an approved list.</t>
  </si>
  <si>
    <t>Not started</t>
  </si>
  <si>
    <t>SF-02</t>
  </si>
  <si>
    <t>Progressive form</t>
  </si>
  <si>
    <t>Visitor sees too many questions at once.</t>
  </si>
  <si>
    <t>The form looks long and difficult.</t>
  </si>
  <si>
    <t>Gets tired before seeing value.</t>
  </si>
  <si>
    <t>Show one short question at a time; display only relevant follow-up questions.</t>
  </si>
  <si>
    <t>Choosing “Measure pH” skips heating and mixing questions.</t>
  </si>
  <si>
    <t>UX + Development</t>
  </si>
  <si>
    <t>Higher completion; shorter completion time.</t>
  </si>
  <si>
    <t>Use reusable conditional rules.</t>
  </si>
  <si>
    <t>SF-03</t>
  </si>
  <si>
    <t>Contact details</t>
  </si>
  <si>
    <t>Email or phone is requested before results.</t>
  </si>
  <si>
    <t>Feels like lead collection before help.</t>
  </si>
  <si>
    <t>Uses false details or closes the form.</t>
  </si>
  <si>
    <t>Show recommendations first; ask contact details only for quote, brochure, or expert help.</t>
  </si>
  <si>
    <t>Results first, then “Email these results to me.”</t>
  </si>
  <si>
    <t>Marketing + Development</t>
  </si>
  <si>
    <t>Fewer contact-step exits; better lead quality.</t>
  </si>
  <si>
    <t>Keep contact capture separate from matching.</t>
  </si>
  <si>
    <t>SF-04</t>
  </si>
  <si>
    <t>Optional fields</t>
  </si>
  <si>
    <t>Organisation appears required when it is not.</t>
  </si>
  <si>
    <t>User does not want to share company details.</t>
  </si>
  <si>
    <t>Students or early researchers abandon.</t>
  </si>
  <si>
    <t>Mark non-essential fields Optional and explain their benefit.</t>
  </si>
  <si>
    <t>“Organisation (optional) — helps us connect you to the local team.”</t>
  </si>
  <si>
    <t>Low</t>
  </si>
  <si>
    <t>UX + Marketing</t>
  </si>
  <si>
    <t>Lower abandonment on personal fields.</t>
  </si>
  <si>
    <t>Review necessity before adding a field.</t>
  </si>
  <si>
    <t>SF-05</t>
  </si>
  <si>
    <t>Uncertain users</t>
  </si>
  <si>
    <t>Technical questions force a definite answer.</t>
  </si>
  <si>
    <t>Visitor may not know specifications yet.</t>
  </si>
  <si>
    <t>Guesses and gets poor results.</t>
  </si>
  <si>
    <t>Add “Not sure” and offer simple guidance.</t>
  </si>
  <si>
    <t>“Required accuracy?” → “Not sure — help me decide.”</t>
  </si>
  <si>
    <t>Product + UX</t>
  </si>
  <si>
    <t>Fewer wrong answers and restarts.</t>
  </si>
  <si>
    <t>Every technical question needs an uncertainty path.</t>
  </si>
  <si>
    <t>SF-06</t>
  </si>
  <si>
    <t>Plain language</t>
  </si>
  <si>
    <t>Labels use internal laboratory terminology.</t>
  </si>
  <si>
    <t>New users do not understand the wording.</t>
  </si>
  <si>
    <t>Hesitates, guesses, or leaves.</t>
  </si>
  <si>
    <t>Use plain labels with short explanations or tooltips.</t>
  </si>
  <si>
    <t>“Throughput” → “How many samples do you test per day?”</t>
  </si>
  <si>
    <t>Content + Product</t>
  </si>
  <si>
    <t>Fewer back clicks and help requests.</t>
  </si>
  <si>
    <t>Maintain an approved glossary.</t>
  </si>
  <si>
    <t>SF-07</t>
  </si>
  <si>
    <t>Mobile use</t>
  </si>
  <si>
    <t>Layout or choices behave differently on mobile.</t>
  </si>
  <si>
    <t>Buttons can be cramped or hidden by keyboard.</t>
  </si>
  <si>
    <t>Makes errors or cannot continue.</t>
  </si>
  <si>
    <t>Use large tap targets, full-width choices, and the same order on every device.</t>
  </si>
  <si>
    <t>Answer cards are at least 44 px high.</t>
  </si>
  <si>
    <t>Development + QA</t>
  </si>
  <si>
    <t>Mobile completion approaches desktop.</t>
  </si>
  <si>
    <t>Test common phones and browsers each release.</t>
  </si>
  <si>
    <t>SF-08</t>
  </si>
  <si>
    <t>Progress</t>
  </si>
  <si>
    <t>Visitor cannot see how long the finder takes.</t>
  </si>
  <si>
    <t>The journey feels longer than it is.</t>
  </si>
  <si>
    <t>Exits midway.</t>
  </si>
  <si>
    <t>Show current progress and an approximate time remaining.</t>
  </si>
  <si>
    <t>“Step 2 of about 5 · around 1 minute left.”</t>
  </si>
  <si>
    <t>More visitors reach results.</t>
  </si>
  <si>
    <t>Calculate progress from the active branch.</t>
  </si>
  <si>
    <t>SF-09</t>
  </si>
  <si>
    <t>Review answers</t>
  </si>
  <si>
    <t>Earlier answers are difficult to check or change.</t>
  </si>
  <si>
    <t>One wrong answer changes all results.</t>
  </si>
  <si>
    <t>Restarts or accepts a poor match.</t>
  </si>
  <si>
    <t>Add an editable answer summary before results.</t>
  </si>
  <si>
    <t>“Sample: Liquid — Change.”</t>
  </si>
  <si>
    <t>Next (2–6 weeks)</t>
  </si>
  <si>
    <t>More corrections without restarts.</t>
  </si>
  <si>
    <t>Store answers in one session object.</t>
  </si>
  <si>
    <t>SF-10</t>
  </si>
  <si>
    <t>Other options</t>
  </si>
  <si>
    <t>Role or goal uses uncontrolled free text.</t>
  </si>
  <si>
    <t>Different spellings create messy data.</t>
  </si>
  <si>
    <t>Reporting and routing become unreliable.</t>
  </si>
  <si>
    <t>Show common choices; allow Other with a labelled field and monthly review.</t>
  </si>
  <si>
    <t>Role: “Quality control”; Other: “Validation consultant.”</t>
  </si>
  <si>
    <t>Marketing Ops</t>
  </si>
  <si>
    <t>Cleaner reports and fewer duplicates.</t>
  </si>
  <si>
    <t>Assign an owner for new values.</t>
  </si>
  <si>
    <t>SF-11</t>
  </si>
  <si>
    <t>Accessibility</t>
  </si>
  <si>
    <t>Keyboard, focus, screen-reader, or contrast support is weak.</t>
  </si>
  <si>
    <t>Some visitors cannot use the form.</t>
  </si>
  <si>
    <t>Creates exclusion and compliance risk.</t>
  </si>
  <si>
    <t>Support keyboard order, visible focus, labels, readable errors, and contrast.</t>
  </si>
  <si>
    <t>Tab moves correctly; Enter selects; error explains the fix.</t>
  </si>
  <si>
    <t>Pass keyboard and screen-reader checks.</t>
  </si>
  <si>
    <t>Add accessibility tests to releases.</t>
  </si>
  <si>
    <t>SF-12</t>
  </si>
  <si>
    <t>Industry context</t>
  </si>
  <si>
    <t>Industry is assumed too early or asked without purpose.</t>
  </si>
  <si>
    <t>Similar tasks have different compliance needs.</t>
  </si>
  <si>
    <t>Result works technically but not commercially.</t>
  </si>
  <si>
    <t>Ask industry only when it changes results and confirm it on the result page.</t>
  </si>
  <si>
    <t>Pharma results highlight validation and audit trails.</t>
  </si>
  <si>
    <t>Product + Applications</t>
  </si>
  <si>
    <t>Product experts approve sample results.</t>
  </si>
  <si>
    <t>Document which answers affect matching.</t>
  </si>
  <si>
    <t>SF-13</t>
  </si>
  <si>
    <t>Save and resume</t>
  </si>
  <si>
    <t>Answers disappear when the visitor closes the page.</t>
  </si>
  <si>
    <t>Busy users may not finish in one visit.</t>
  </si>
  <si>
    <t>Repeats work or never returns.</t>
  </si>
  <si>
    <t>Save progress locally and optionally send a resume link.</t>
  </si>
  <si>
    <t>“Continue your saved selection” on the next visit.</t>
  </si>
  <si>
    <t>Later (6–12 weeks)</t>
  </si>
  <si>
    <t>Development</t>
  </si>
  <si>
    <t>More returning visitors finish.</t>
  </si>
  <si>
    <t>Expire saved data and limit personal data.</t>
  </si>
  <si>
    <t>SF-14</t>
  </si>
  <si>
    <t>Error recovery</t>
  </si>
  <si>
    <t>Network or server failure can remove answers.</t>
  </si>
  <si>
    <t>Generic error gives no safe next step.</t>
  </si>
  <si>
    <t>Trust drops and enquiries are lost.</t>
  </si>
  <si>
    <t>Keep answers locally; show a clear message and Retry.</t>
  </si>
  <si>
    <t>“Results could not load. Your answers are safe. Try again.”</t>
  </si>
  <si>
    <t>High successful-retry rate.</t>
  </si>
  <si>
    <t>Log errors without sensitive answers.</t>
  </si>
  <si>
    <t>SF-15</t>
  </si>
  <si>
    <t>Duplicate requests</t>
  </si>
  <si>
    <t>Double-click or retry sends the enquiry twice.</t>
  </si>
  <si>
    <t>Repeated confirmations confuse the user.</t>
  </si>
  <si>
    <t>Sales receives duplicate leads.</t>
  </si>
  <si>
    <t>Disable Submit while sending and use a unique submission ID.</t>
  </si>
  <si>
    <t>Button changes to “Sending…” after one click.</t>
  </si>
  <si>
    <t>Near-zero duplicate submissions.</t>
  </si>
  <si>
    <t>Use browser and server idempotency.</t>
  </si>
  <si>
    <t>SF-16</t>
  </si>
  <si>
    <t>Privacy</t>
  </si>
  <si>
    <t>Use of email or phone is not clearly explained.</t>
  </si>
  <si>
    <t>Visitor fears unwanted marketing.</t>
  </si>
  <si>
    <t>Leaves or provides false information.</t>
  </si>
  <si>
    <t>Place a short privacy note near contact fields and link the policy.</t>
  </si>
  <si>
    <t>“Used only to respond to this request. No unsolicited emails.”</t>
  </si>
  <si>
    <t>Legal + Marketing</t>
  </si>
  <si>
    <t>Better contact quality; fewer concerns.</t>
  </si>
  <si>
    <t>Review wording when data use changes.</t>
  </si>
  <si>
    <t>SF-17</t>
  </si>
  <si>
    <t>Result explanation</t>
  </si>
  <si>
    <t>Products are shown without explaining the match.</t>
  </si>
  <si>
    <t>Recommendation feels like advertising.</t>
  </si>
  <si>
    <t>Does not trust or understand it.</t>
  </si>
  <si>
    <t>Show 2–3 matching reasons, limitations, and an alternative.</t>
  </si>
  <si>
    <t>“NF2300 matches because you need pH + conductivity for liquids.”</t>
  </si>
  <si>
    <t>Product + Development</t>
  </si>
  <si>
    <t>More result clicks and quote actions.</t>
  </si>
  <si>
    <t>Version and review matching rules.</t>
  </si>
  <si>
    <t>SF-18</t>
  </si>
  <si>
    <t>No-match journey</t>
  </si>
  <si>
    <t>Unusual needs can end with no product or next step.</t>
  </si>
  <si>
    <t>Scientific requests are often specialised.</t>
  </si>
  <si>
    <t>Visitor reaches a dead end.</t>
  </si>
  <si>
    <t>Offer expert help with completed answers attached.</t>
  </si>
  <si>
    <t>“No exact match. Send requirements to an application specialist.”</t>
  </si>
  <si>
    <t>Sales + Development</t>
  </si>
  <si>
    <t>No-match visitors still become qualified enquiries.</t>
  </si>
  <si>
    <t>Set owner and response-time target.</t>
  </si>
  <si>
    <t>SF-19</t>
  </si>
  <si>
    <t>Analytics</t>
  </si>
  <si>
    <t>Only final enquiries are measured.</t>
  </si>
  <si>
    <t>Team cannot locate confusing questions.</t>
  </si>
  <si>
    <t>Changes are based on opinion.</t>
  </si>
  <si>
    <t>Track anonymous start, steps, back, errors, results, quote, and exit.</t>
  </si>
  <si>
    <t>35% exit at sample type → simplify that question first.</t>
  </si>
  <si>
    <t>Analytics + Development</t>
  </si>
  <si>
    <t>Weekly funnel shows reliable drop-off.</t>
  </si>
  <si>
    <t>Document stable event names.</t>
  </si>
  <si>
    <t>SF-20</t>
  </si>
  <si>
    <t>Product governance</t>
  </si>
  <si>
    <t>Catalogue and matching rules become outdated.</t>
  </si>
  <si>
    <t>Old products may remain in results.</t>
  </si>
  <si>
    <t>Gets unavailable or mismatched suggestions.</t>
  </si>
  <si>
    <t>Use a governed catalogue with active status, owner, and review date.</t>
  </si>
  <si>
    <t>A discontinued model points to its approved replacement.</t>
  </si>
  <si>
    <t>Product Data + Development</t>
  </si>
  <si>
    <t>Zero inactive products in results.</t>
  </si>
  <si>
    <t>Quarterly review plus broken-link checks.</t>
  </si>
  <si>
    <t>SF-21</t>
  </si>
  <si>
    <t>Performance</t>
  </si>
  <si>
    <t>Heavy images or scripts slow the finder.</t>
  </si>
  <si>
    <t>Mobile-network visitors wait too long.</t>
  </si>
  <si>
    <t>Taps twice or leaves.</t>
  </si>
  <si>
    <t>Load the first question fast; defer heavy assets and show a result skeleton.</t>
  </si>
  <si>
    <t>Question appears immediately; product cards load progressively.</t>
  </si>
  <si>
    <t>Faster interaction; fewer slow-session exits.</t>
  </si>
  <si>
    <t>Set and monitor performance budgets.</t>
  </si>
  <si>
    <t>SF-22</t>
  </si>
  <si>
    <t>Management reporting</t>
  </si>
  <si>
    <t>No regular view of finder quality and impact.</t>
  </si>
  <si>
    <t>Problems remain hidden.</t>
  </si>
  <si>
    <t>Investment choices are difficult.</t>
  </si>
  <si>
    <t>Monthly dashboard for funnel, match quality, leads, and sales follow-up.</t>
  </si>
  <si>
    <t>1,000 starts → 620 results → 140 enquiries → 92 qualified.</t>
  </si>
  <si>
    <t>Marketing Ops + Sales</t>
  </si>
  <si>
    <t>Monthly review produces named actions.</t>
  </si>
  <si>
    <t>Keep KPI definitions stable.</t>
  </si>
  <si>
    <t>Implementation Roadmap</t>
  </si>
  <si>
    <t>Deliver clarity first, then trust and measurement, followed by long-term scale and governance.</t>
  </si>
  <si>
    <t>Timing</t>
  </si>
  <si>
    <t>Main goal</t>
  </si>
  <si>
    <t>Included actions</t>
  </si>
  <si>
    <t>Main output</t>
  </si>
  <si>
    <t>Primary owners</t>
  </si>
  <si>
    <t>Completion test</t>
  </si>
  <si>
    <t>Dependency / note</t>
  </si>
  <si>
    <t>Now</t>
  </si>
  <si>
    <t>0–2 weeks</t>
  </si>
  <si>
    <t>Remove immediate confusion</t>
  </si>
  <si>
    <t>SF-01, 02, 03, 04, 05, 06, 07, 08, 15, 16</t>
  </si>
  <si>
    <t>Simple guided form that works clearly on mobile</t>
  </si>
  <si>
    <t>UX, Development, Product, Marketing, Legal</t>
  </si>
  <si>
    <t>5 representative users finish without help; baseline analytics recorded</t>
  </si>
  <si>
    <t>Confirm first goals and privacy wording</t>
  </si>
  <si>
    <t>Next</t>
  </si>
  <si>
    <t>2–6 weeks</t>
  </si>
  <si>
    <t>Improve trust, access, recovery, and measurement</t>
  </si>
  <si>
    <t>SF-09, 10, 11, 12, 14, 17, 18, 19, 21</t>
  </si>
  <si>
    <t>Explainable results, recovery, accessibility, and funnel dashboard</t>
  </si>
  <si>
    <t>Product, Development, QA, Analytics, Sales</t>
  </si>
  <si>
    <t>No dead ends; keyboard test passes; events and sample results are approved</t>
  </si>
  <si>
    <t>Needs approved matching rules and analytics event list</t>
  </si>
  <si>
    <t>Later</t>
  </si>
  <si>
    <t>6–12 weeks</t>
  </si>
  <si>
    <t>Make the finder scalable</t>
  </si>
  <si>
    <t>SF-13, 20, 22</t>
  </si>
  <si>
    <t>Save/resume, governed catalogue, monthly reporting</t>
  </si>
  <si>
    <t>Product Data, Development, Marketing Ops, Sales</t>
  </si>
  <si>
    <t>Inactive products cannot appear; monthly report has owners and actions</t>
  </si>
  <si>
    <t>Needs catalogue ownership and CRM agreement</t>
  </si>
  <si>
    <t>Phase summary</t>
  </si>
  <si>
    <t>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</si>
</sst>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7365D"/>
      <name val="Calibri"/>
      <family val="2"/>
      <scheme val="minor"/>
    </font>
    <font>
      <b/>
      <sz val="11"/>
      <color rgb="FF1F2937"/>
      <name val="Calibri"/>
      <family val="2"/>
      <scheme val="minor"/>
    </font>
    <font>
      <b/>
      <sz val="11"/>
      <color rgb="FF17365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olutionFinderPlan" displayName="SolutionFinderPlan" ref="A4:N26" totalsRowShown="0">
  <autoFilter ref="A4:N26"/>
  <tableColumns count="14">
    <tableColumn id="1" name="ID"/>
    <tableColumn id="2" name="Area"/>
    <tableColumn id="3" name="User scenario"/>
    <tableColumn id="4" name="Current problem"/>
    <tableColumn id="5" name="Possible user reaction"/>
    <tableColumn id="6" name="Recommended improvement"/>
    <tableColumn id="7" name="Simple example"/>
    <tableColumn id="8" name="Priority"/>
    <tableColumn id="9" name="Effort"/>
    <tableColumn id="10" name="Phase"/>
    <tableColumn id="11" name="Owner"/>
    <tableColumn id="12" name="Success measure"/>
    <tableColumn id="13" name="Future protection"/>
    <tableColumn id="1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 sqref="A1:H1"/>
    </sheetView>
  </sheetViews>
  <sheetFormatPr defaultRowHeight="14.4" x14ac:dyDescent="0.3"/>
  <cols>
    <col min="1" max="1" width="22.6640625" customWidth="1"/>
    <col min="2" max="2" width="14.6640625" customWidth="1"/>
    <col min="3" max="3" width="4.6640625" customWidth="1"/>
    <col min="4" max="8" width="18.6640625" customWidth="1"/>
  </cols>
  <sheetData>
    <row r="1" spans="1:8" ht="30" customHeight="1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ht="30" customHeight="1" x14ac:dyDescent="0.3">
      <c r="A2" s="8" t="s">
        <v>1</v>
      </c>
      <c r="B2" s="8"/>
      <c r="C2" s="8"/>
      <c r="D2" s="8"/>
      <c r="E2" s="8"/>
      <c r="F2" s="8"/>
      <c r="G2" s="8"/>
      <c r="H2" s="8"/>
    </row>
    <row r="4" spans="1:8" x14ac:dyDescent="0.3">
      <c r="A4" s="1" t="s">
        <v>2</v>
      </c>
      <c r="B4" s="1" t="s">
        <v>3</v>
      </c>
      <c r="D4" s="9" t="s">
        <v>10</v>
      </c>
      <c r="E4" s="9"/>
      <c r="F4" s="9"/>
      <c r="G4" s="9"/>
      <c r="H4" s="9"/>
    </row>
    <row r="5" spans="1:8" ht="18" x14ac:dyDescent="0.35">
      <c r="A5" s="2" t="s">
        <v>4</v>
      </c>
      <c r="B5" s="3">
        <f>COUNTA('Detailed Plan'!A5:A26)</f>
        <v>22</v>
      </c>
      <c r="D5" s="10" t="s">
        <v>11</v>
      </c>
      <c r="E5" s="10"/>
      <c r="F5" s="10"/>
      <c r="G5" s="10"/>
      <c r="H5" s="10"/>
    </row>
    <row r="6" spans="1:8" ht="18" x14ac:dyDescent="0.35">
      <c r="A6" s="2" t="s">
        <v>5</v>
      </c>
      <c r="B6" s="3">
        <f>COUNTIF('Detailed Plan'!H5:H26,"High")</f>
        <v>14</v>
      </c>
      <c r="D6" s="10"/>
      <c r="E6" s="10"/>
      <c r="F6" s="10"/>
      <c r="G6" s="10"/>
      <c r="H6" s="10"/>
    </row>
    <row r="7" spans="1:8" ht="18" x14ac:dyDescent="0.35">
      <c r="A7" s="2" t="s">
        <v>6</v>
      </c>
      <c r="B7" s="3">
        <f>COUNTIF('Detailed Plan'!H5:H26,"Medium")</f>
        <v>8</v>
      </c>
      <c r="D7" s="10"/>
      <c r="E7" s="10"/>
      <c r="F7" s="10"/>
      <c r="G7" s="10"/>
      <c r="H7" s="10"/>
    </row>
    <row r="8" spans="1:8" ht="18" x14ac:dyDescent="0.35">
      <c r="A8" s="2" t="s">
        <v>7</v>
      </c>
      <c r="B8" s="3">
        <f>COUNTIF('Detailed Plan'!J5:J26,"Now (0–2 weeks)")</f>
        <v>10</v>
      </c>
      <c r="D8" s="11" t="s">
        <v>12</v>
      </c>
      <c r="E8" s="11"/>
      <c r="F8" s="11"/>
      <c r="G8" s="11"/>
      <c r="H8" s="11"/>
    </row>
    <row r="9" spans="1:8" ht="18" x14ac:dyDescent="0.35">
      <c r="A9" s="2" t="s">
        <v>8</v>
      </c>
      <c r="B9" s="3">
        <f>COUNTIF('Detailed Plan'!J5:J26,"Next (2–6 weeks)")</f>
        <v>9</v>
      </c>
      <c r="D9" s="11"/>
      <c r="E9" s="11"/>
      <c r="F9" s="11"/>
      <c r="G9" s="11"/>
      <c r="H9" s="11"/>
    </row>
    <row r="10" spans="1:8" ht="18" x14ac:dyDescent="0.35">
      <c r="A10" s="2" t="s">
        <v>9</v>
      </c>
      <c r="B10" s="3">
        <f>COUNTIF('Detailed Plan'!J5:J26,"Later (6–12 weeks)")</f>
        <v>3</v>
      </c>
      <c r="D10" s="11"/>
      <c r="E10" s="11"/>
      <c r="F10" s="11"/>
      <c r="G10" s="11"/>
      <c r="H10" s="11"/>
    </row>
    <row r="12" spans="1:8" x14ac:dyDescent="0.3">
      <c r="A12" s="9" t="s">
        <v>13</v>
      </c>
      <c r="B12" s="9"/>
      <c r="C12" s="9"/>
      <c r="D12" s="9"/>
      <c r="E12" s="9"/>
      <c r="F12" s="9"/>
      <c r="G12" s="9"/>
      <c r="H12" s="9"/>
    </row>
    <row r="13" spans="1:8" x14ac:dyDescent="0.3">
      <c r="A13" s="12" t="s">
        <v>14</v>
      </c>
      <c r="B13" s="12"/>
      <c r="C13" s="12"/>
      <c r="D13" s="12"/>
      <c r="E13" s="12"/>
      <c r="F13" s="12"/>
      <c r="G13" s="12"/>
      <c r="H13" s="12"/>
    </row>
    <row r="14" spans="1:8" x14ac:dyDescent="0.3">
      <c r="A14" s="12"/>
      <c r="B14" s="12"/>
      <c r="C14" s="12"/>
      <c r="D14" s="12"/>
      <c r="E14" s="12"/>
      <c r="F14" s="12"/>
      <c r="G14" s="12"/>
      <c r="H14" s="12"/>
    </row>
    <row r="15" spans="1:8" x14ac:dyDescent="0.3">
      <c r="A15" s="12"/>
      <c r="B15" s="12"/>
      <c r="C15" s="12"/>
      <c r="D15" s="12"/>
      <c r="E15" s="12"/>
      <c r="F15" s="12"/>
      <c r="G15" s="12"/>
      <c r="H15" s="12"/>
    </row>
  </sheetData>
  <mergeCells count="7">
    <mergeCell ref="A12:H12"/>
    <mergeCell ref="A13:H15"/>
    <mergeCell ref="A1:H1"/>
    <mergeCell ref="A2:H2"/>
    <mergeCell ref="D4:H4"/>
    <mergeCell ref="D5:H7"/>
    <mergeCell ref="D8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pane ySplit="4" topLeftCell="A24" activePane="bottomLeft" state="frozen"/>
      <selection pane="bottomLeft" activeCell="F26" sqref="F26"/>
    </sheetView>
  </sheetViews>
  <sheetFormatPr defaultRowHeight="14.4" x14ac:dyDescent="0.3"/>
  <cols>
    <col min="1" max="1" width="9.6640625" customWidth="1"/>
    <col min="2" max="2" width="18.6640625" customWidth="1"/>
    <col min="3" max="4" width="29.6640625" customWidth="1"/>
    <col min="5" max="5" width="26.6640625" customWidth="1"/>
    <col min="6" max="6" width="34.6640625" customWidth="1"/>
    <col min="7" max="7" width="33.6640625" customWidth="1"/>
    <col min="8" max="8" width="11.6640625" customWidth="1"/>
    <col min="9" max="9" width="10.6640625" customWidth="1"/>
    <col min="10" max="10" width="19.6640625" customWidth="1"/>
    <col min="11" max="11" width="20.6640625" customWidth="1"/>
    <col min="12" max="12" width="27.6640625" customWidth="1"/>
    <col min="13" max="13" width="28.6640625" customWidth="1"/>
    <col min="14" max="14" width="14.6640625" customWidth="1"/>
  </cols>
  <sheetData>
    <row r="1" spans="1:14" ht="30" customHeight="1" x14ac:dyDescent="0.3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8.05" customHeight="1" x14ac:dyDescent="0.3">
      <c r="A2" s="8" t="s">
        <v>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</row>
    <row r="5" spans="1:14" ht="76.05" customHeight="1" x14ac:dyDescent="0.3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6" t="s">
        <v>44</v>
      </c>
    </row>
    <row r="6" spans="1:14" ht="76.05" customHeight="1" x14ac:dyDescent="0.3">
      <c r="A6" s="4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50</v>
      </c>
      <c r="G6" s="5" t="s">
        <v>51</v>
      </c>
      <c r="H6" s="5" t="s">
        <v>38</v>
      </c>
      <c r="I6" s="5" t="s">
        <v>39</v>
      </c>
      <c r="J6" s="5" t="s">
        <v>40</v>
      </c>
      <c r="K6" s="5" t="s">
        <v>52</v>
      </c>
      <c r="L6" s="5" t="s">
        <v>53</v>
      </c>
      <c r="M6" s="5" t="s">
        <v>54</v>
      </c>
      <c r="N6" s="6" t="s">
        <v>44</v>
      </c>
    </row>
    <row r="7" spans="1:14" ht="76.05" customHeight="1" x14ac:dyDescent="0.3">
      <c r="A7" s="4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61</v>
      </c>
      <c r="H7" s="5" t="s">
        <v>38</v>
      </c>
      <c r="I7" s="5" t="s">
        <v>39</v>
      </c>
      <c r="J7" s="5" t="s">
        <v>40</v>
      </c>
      <c r="K7" s="5" t="s">
        <v>62</v>
      </c>
      <c r="L7" s="5" t="s">
        <v>63</v>
      </c>
      <c r="M7" s="5" t="s">
        <v>64</v>
      </c>
      <c r="N7" s="6" t="s">
        <v>44</v>
      </c>
    </row>
    <row r="8" spans="1:14" ht="76.05" customHeight="1" x14ac:dyDescent="0.3">
      <c r="A8" s="4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70</v>
      </c>
      <c r="G8" s="5" t="s">
        <v>71</v>
      </c>
      <c r="H8" s="5" t="s">
        <v>39</v>
      </c>
      <c r="I8" s="5" t="s">
        <v>72</v>
      </c>
      <c r="J8" s="5" t="s">
        <v>40</v>
      </c>
      <c r="K8" s="5" t="s">
        <v>73</v>
      </c>
      <c r="L8" s="5" t="s">
        <v>74</v>
      </c>
      <c r="M8" s="5" t="s">
        <v>75</v>
      </c>
      <c r="N8" s="6" t="s">
        <v>44</v>
      </c>
    </row>
    <row r="9" spans="1:14" ht="76.05" customHeight="1" x14ac:dyDescent="0.3">
      <c r="A9" s="4" t="s">
        <v>76</v>
      </c>
      <c r="B9" s="5" t="s">
        <v>77</v>
      </c>
      <c r="C9" s="5" t="s">
        <v>78</v>
      </c>
      <c r="D9" s="5" t="s">
        <v>79</v>
      </c>
      <c r="E9" s="5" t="s">
        <v>80</v>
      </c>
      <c r="F9" s="5" t="s">
        <v>81</v>
      </c>
      <c r="G9" s="5" t="s">
        <v>82</v>
      </c>
      <c r="H9" s="5" t="s">
        <v>38</v>
      </c>
      <c r="I9" s="5" t="s">
        <v>72</v>
      </c>
      <c r="J9" s="5" t="s">
        <v>40</v>
      </c>
      <c r="K9" s="5" t="s">
        <v>83</v>
      </c>
      <c r="L9" s="5" t="s">
        <v>84</v>
      </c>
      <c r="M9" s="5" t="s">
        <v>85</v>
      </c>
      <c r="N9" s="6" t="s">
        <v>44</v>
      </c>
    </row>
    <row r="10" spans="1:14" ht="76.05" customHeight="1" x14ac:dyDescent="0.3">
      <c r="A10" s="4" t="s">
        <v>86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92</v>
      </c>
      <c r="H10" s="5" t="s">
        <v>38</v>
      </c>
      <c r="I10" s="5" t="s">
        <v>39</v>
      </c>
      <c r="J10" s="5" t="s">
        <v>40</v>
      </c>
      <c r="K10" s="5" t="s">
        <v>93</v>
      </c>
      <c r="L10" s="5" t="s">
        <v>94</v>
      </c>
      <c r="M10" s="5" t="s">
        <v>95</v>
      </c>
      <c r="N10" s="6" t="s">
        <v>44</v>
      </c>
    </row>
    <row r="11" spans="1:14" ht="76.05" customHeight="1" x14ac:dyDescent="0.3">
      <c r="A11" s="4" t="s">
        <v>96</v>
      </c>
      <c r="B11" s="5" t="s">
        <v>97</v>
      </c>
      <c r="C11" s="5" t="s">
        <v>98</v>
      </c>
      <c r="D11" s="5" t="s">
        <v>99</v>
      </c>
      <c r="E11" s="5" t="s">
        <v>100</v>
      </c>
      <c r="F11" s="5" t="s">
        <v>101</v>
      </c>
      <c r="G11" s="5" t="s">
        <v>102</v>
      </c>
      <c r="H11" s="5" t="s">
        <v>38</v>
      </c>
      <c r="I11" s="5" t="s">
        <v>39</v>
      </c>
      <c r="J11" s="5" t="s">
        <v>40</v>
      </c>
      <c r="K11" s="5" t="s">
        <v>103</v>
      </c>
      <c r="L11" s="5" t="s">
        <v>104</v>
      </c>
      <c r="M11" s="5" t="s">
        <v>105</v>
      </c>
      <c r="N11" s="6" t="s">
        <v>44</v>
      </c>
    </row>
    <row r="12" spans="1:14" ht="76.05" customHeight="1" x14ac:dyDescent="0.3">
      <c r="A12" s="4" t="s">
        <v>106</v>
      </c>
      <c r="B12" s="5" t="s">
        <v>107</v>
      </c>
      <c r="C12" s="5" t="s">
        <v>108</v>
      </c>
      <c r="D12" s="5" t="s">
        <v>109</v>
      </c>
      <c r="E12" s="5" t="s">
        <v>110</v>
      </c>
      <c r="F12" s="5" t="s">
        <v>111</v>
      </c>
      <c r="G12" s="5" t="s">
        <v>112</v>
      </c>
      <c r="H12" s="5" t="s">
        <v>38</v>
      </c>
      <c r="I12" s="5" t="s">
        <v>72</v>
      </c>
      <c r="J12" s="5" t="s">
        <v>40</v>
      </c>
      <c r="K12" s="5" t="s">
        <v>52</v>
      </c>
      <c r="L12" s="5" t="s">
        <v>113</v>
      </c>
      <c r="M12" s="5" t="s">
        <v>114</v>
      </c>
      <c r="N12" s="6" t="s">
        <v>44</v>
      </c>
    </row>
    <row r="13" spans="1:14" ht="76.05" customHeight="1" x14ac:dyDescent="0.3">
      <c r="A13" s="4" t="s">
        <v>115</v>
      </c>
      <c r="B13" s="5" t="s">
        <v>116</v>
      </c>
      <c r="C13" s="5" t="s">
        <v>117</v>
      </c>
      <c r="D13" s="5" t="s">
        <v>118</v>
      </c>
      <c r="E13" s="5" t="s">
        <v>119</v>
      </c>
      <c r="F13" s="5" t="s">
        <v>120</v>
      </c>
      <c r="G13" s="5" t="s">
        <v>121</v>
      </c>
      <c r="H13" s="5" t="s">
        <v>39</v>
      </c>
      <c r="I13" s="5" t="s">
        <v>39</v>
      </c>
      <c r="J13" s="5" t="s">
        <v>122</v>
      </c>
      <c r="K13" s="5" t="s">
        <v>52</v>
      </c>
      <c r="L13" s="5" t="s">
        <v>123</v>
      </c>
      <c r="M13" s="5" t="s">
        <v>124</v>
      </c>
      <c r="N13" s="6" t="s">
        <v>44</v>
      </c>
    </row>
    <row r="14" spans="1:14" ht="76.05" customHeight="1" x14ac:dyDescent="0.3">
      <c r="A14" s="4" t="s">
        <v>125</v>
      </c>
      <c r="B14" s="5" t="s">
        <v>126</v>
      </c>
      <c r="C14" s="5" t="s">
        <v>127</v>
      </c>
      <c r="D14" s="5" t="s">
        <v>128</v>
      </c>
      <c r="E14" s="5" t="s">
        <v>129</v>
      </c>
      <c r="F14" s="5" t="s">
        <v>130</v>
      </c>
      <c r="G14" s="5" t="s">
        <v>131</v>
      </c>
      <c r="H14" s="5" t="s">
        <v>39</v>
      </c>
      <c r="I14" s="5" t="s">
        <v>72</v>
      </c>
      <c r="J14" s="5" t="s">
        <v>122</v>
      </c>
      <c r="K14" s="5" t="s">
        <v>132</v>
      </c>
      <c r="L14" s="5" t="s">
        <v>133</v>
      </c>
      <c r="M14" s="5" t="s">
        <v>134</v>
      </c>
      <c r="N14" s="6" t="s">
        <v>44</v>
      </c>
    </row>
    <row r="15" spans="1:14" ht="76.05" customHeight="1" x14ac:dyDescent="0.3">
      <c r="A15" s="4" t="s">
        <v>135</v>
      </c>
      <c r="B15" s="5" t="s">
        <v>136</v>
      </c>
      <c r="C15" s="5" t="s">
        <v>137</v>
      </c>
      <c r="D15" s="5" t="s">
        <v>138</v>
      </c>
      <c r="E15" s="5" t="s">
        <v>139</v>
      </c>
      <c r="F15" s="5" t="s">
        <v>140</v>
      </c>
      <c r="G15" s="5" t="s">
        <v>141</v>
      </c>
      <c r="H15" s="5" t="s">
        <v>38</v>
      </c>
      <c r="I15" s="5" t="s">
        <v>39</v>
      </c>
      <c r="J15" s="5" t="s">
        <v>122</v>
      </c>
      <c r="K15" s="5" t="s">
        <v>103</v>
      </c>
      <c r="L15" s="5" t="s">
        <v>142</v>
      </c>
      <c r="M15" s="5" t="s">
        <v>143</v>
      </c>
      <c r="N15" s="6" t="s">
        <v>44</v>
      </c>
    </row>
    <row r="16" spans="1:14" ht="76.05" customHeight="1" x14ac:dyDescent="0.3">
      <c r="A16" s="4" t="s">
        <v>144</v>
      </c>
      <c r="B16" s="5" t="s">
        <v>145</v>
      </c>
      <c r="C16" s="5" t="s">
        <v>146</v>
      </c>
      <c r="D16" s="5" t="s">
        <v>147</v>
      </c>
      <c r="E16" s="5" t="s">
        <v>148</v>
      </c>
      <c r="F16" s="5" t="s">
        <v>149</v>
      </c>
      <c r="G16" s="5" t="s">
        <v>150</v>
      </c>
      <c r="H16" s="5" t="s">
        <v>39</v>
      </c>
      <c r="I16" s="5" t="s">
        <v>39</v>
      </c>
      <c r="J16" s="5" t="s">
        <v>122</v>
      </c>
      <c r="K16" s="5" t="s">
        <v>151</v>
      </c>
      <c r="L16" s="5" t="s">
        <v>152</v>
      </c>
      <c r="M16" s="5" t="s">
        <v>153</v>
      </c>
      <c r="N16" s="6" t="s">
        <v>44</v>
      </c>
    </row>
    <row r="17" spans="1:14" ht="76.05" customHeight="1" x14ac:dyDescent="0.3">
      <c r="A17" s="4" t="s">
        <v>154</v>
      </c>
      <c r="B17" s="5" t="s">
        <v>155</v>
      </c>
      <c r="C17" s="5" t="s">
        <v>156</v>
      </c>
      <c r="D17" s="5" t="s">
        <v>157</v>
      </c>
      <c r="E17" s="5" t="s">
        <v>158</v>
      </c>
      <c r="F17" s="5" t="s">
        <v>159</v>
      </c>
      <c r="G17" s="5" t="s">
        <v>160</v>
      </c>
      <c r="H17" s="5" t="s">
        <v>39</v>
      </c>
      <c r="I17" s="5" t="s">
        <v>39</v>
      </c>
      <c r="J17" s="5" t="s">
        <v>161</v>
      </c>
      <c r="K17" s="5" t="s">
        <v>162</v>
      </c>
      <c r="L17" s="5" t="s">
        <v>163</v>
      </c>
      <c r="M17" s="5" t="s">
        <v>164</v>
      </c>
      <c r="N17" s="6" t="s">
        <v>44</v>
      </c>
    </row>
    <row r="18" spans="1:14" ht="76.05" customHeight="1" x14ac:dyDescent="0.3">
      <c r="A18" s="4" t="s">
        <v>165</v>
      </c>
      <c r="B18" s="5" t="s">
        <v>166</v>
      </c>
      <c r="C18" s="5" t="s">
        <v>167</v>
      </c>
      <c r="D18" s="5" t="s">
        <v>168</v>
      </c>
      <c r="E18" s="5" t="s">
        <v>169</v>
      </c>
      <c r="F18" s="5" t="s">
        <v>170</v>
      </c>
      <c r="G18" s="5" t="s">
        <v>171</v>
      </c>
      <c r="H18" s="5" t="s">
        <v>38</v>
      </c>
      <c r="I18" s="5" t="s">
        <v>39</v>
      </c>
      <c r="J18" s="5" t="s">
        <v>122</v>
      </c>
      <c r="K18" s="5" t="s">
        <v>103</v>
      </c>
      <c r="L18" s="5" t="s">
        <v>172</v>
      </c>
      <c r="M18" s="5" t="s">
        <v>173</v>
      </c>
      <c r="N18" s="6" t="s">
        <v>44</v>
      </c>
    </row>
    <row r="19" spans="1:14" ht="76.05" customHeight="1" x14ac:dyDescent="0.3">
      <c r="A19" s="4" t="s">
        <v>174</v>
      </c>
      <c r="B19" s="5" t="s">
        <v>175</v>
      </c>
      <c r="C19" s="5" t="s">
        <v>176</v>
      </c>
      <c r="D19" s="5" t="s">
        <v>177</v>
      </c>
      <c r="E19" s="5" t="s">
        <v>178</v>
      </c>
      <c r="F19" s="5" t="s">
        <v>179</v>
      </c>
      <c r="G19" s="5" t="s">
        <v>180</v>
      </c>
      <c r="H19" s="5" t="s">
        <v>39</v>
      </c>
      <c r="I19" s="5" t="s">
        <v>72</v>
      </c>
      <c r="J19" s="5" t="s">
        <v>40</v>
      </c>
      <c r="K19" s="5" t="s">
        <v>162</v>
      </c>
      <c r="L19" s="5" t="s">
        <v>181</v>
      </c>
      <c r="M19" s="5" t="s">
        <v>182</v>
      </c>
      <c r="N19" s="6" t="s">
        <v>44</v>
      </c>
    </row>
    <row r="20" spans="1:14" ht="76.05" customHeight="1" x14ac:dyDescent="0.3">
      <c r="A20" s="4" t="s">
        <v>183</v>
      </c>
      <c r="B20" s="5" t="s">
        <v>184</v>
      </c>
      <c r="C20" s="5" t="s">
        <v>185</v>
      </c>
      <c r="D20" s="5" t="s">
        <v>186</v>
      </c>
      <c r="E20" s="5" t="s">
        <v>187</v>
      </c>
      <c r="F20" s="5" t="s">
        <v>188</v>
      </c>
      <c r="G20" s="5" t="s">
        <v>189</v>
      </c>
      <c r="H20" s="5" t="s">
        <v>38</v>
      </c>
      <c r="I20" s="5" t="s">
        <v>72</v>
      </c>
      <c r="J20" s="5" t="s">
        <v>40</v>
      </c>
      <c r="K20" s="5" t="s">
        <v>190</v>
      </c>
      <c r="L20" s="5" t="s">
        <v>191</v>
      </c>
      <c r="M20" s="5" t="s">
        <v>192</v>
      </c>
      <c r="N20" s="6" t="s">
        <v>44</v>
      </c>
    </row>
    <row r="21" spans="1:14" ht="76.05" customHeight="1" x14ac:dyDescent="0.3">
      <c r="A21" s="4" t="s">
        <v>193</v>
      </c>
      <c r="B21" s="5" t="s">
        <v>194</v>
      </c>
      <c r="C21" s="5" t="s">
        <v>195</v>
      </c>
      <c r="D21" s="5" t="s">
        <v>196</v>
      </c>
      <c r="E21" s="5" t="s">
        <v>197</v>
      </c>
      <c r="F21" s="5" t="s">
        <v>198</v>
      </c>
      <c r="G21" s="5" t="s">
        <v>199</v>
      </c>
      <c r="H21" s="5" t="s">
        <v>38</v>
      </c>
      <c r="I21" s="5" t="s">
        <v>39</v>
      </c>
      <c r="J21" s="5" t="s">
        <v>122</v>
      </c>
      <c r="K21" s="5" t="s">
        <v>200</v>
      </c>
      <c r="L21" s="5" t="s">
        <v>201</v>
      </c>
      <c r="M21" s="5" t="s">
        <v>202</v>
      </c>
      <c r="N21" s="6" t="s">
        <v>44</v>
      </c>
    </row>
    <row r="22" spans="1:14" ht="76.05" customHeight="1" x14ac:dyDescent="0.3">
      <c r="A22" s="4" t="s">
        <v>203</v>
      </c>
      <c r="B22" s="5" t="s">
        <v>204</v>
      </c>
      <c r="C22" s="5" t="s">
        <v>205</v>
      </c>
      <c r="D22" s="5" t="s">
        <v>206</v>
      </c>
      <c r="E22" s="5" t="s">
        <v>207</v>
      </c>
      <c r="F22" s="5" t="s">
        <v>208</v>
      </c>
      <c r="G22" s="5" t="s">
        <v>209</v>
      </c>
      <c r="H22" s="5" t="s">
        <v>38</v>
      </c>
      <c r="I22" s="5" t="s">
        <v>39</v>
      </c>
      <c r="J22" s="5" t="s">
        <v>122</v>
      </c>
      <c r="K22" s="5" t="s">
        <v>210</v>
      </c>
      <c r="L22" s="5" t="s">
        <v>211</v>
      </c>
      <c r="M22" s="5" t="s">
        <v>212</v>
      </c>
      <c r="N22" s="6" t="s">
        <v>44</v>
      </c>
    </row>
    <row r="23" spans="1:14" ht="76.05" customHeight="1" x14ac:dyDescent="0.3">
      <c r="A23" s="4" t="s">
        <v>213</v>
      </c>
      <c r="B23" s="5" t="s">
        <v>214</v>
      </c>
      <c r="C23" s="5" t="s">
        <v>215</v>
      </c>
      <c r="D23" s="5" t="s">
        <v>216</v>
      </c>
      <c r="E23" s="5" t="s">
        <v>217</v>
      </c>
      <c r="F23" s="5" t="s">
        <v>218</v>
      </c>
      <c r="G23" s="5" t="s">
        <v>219</v>
      </c>
      <c r="H23" s="5" t="s">
        <v>38</v>
      </c>
      <c r="I23" s="5" t="s">
        <v>39</v>
      </c>
      <c r="J23" s="5" t="s">
        <v>122</v>
      </c>
      <c r="K23" s="5" t="s">
        <v>220</v>
      </c>
      <c r="L23" s="5" t="s">
        <v>221</v>
      </c>
      <c r="M23" s="5" t="s">
        <v>222</v>
      </c>
      <c r="N23" s="6" t="s">
        <v>44</v>
      </c>
    </row>
    <row r="24" spans="1:14" ht="76.05" customHeight="1" x14ac:dyDescent="0.3">
      <c r="A24" s="4" t="s">
        <v>223</v>
      </c>
      <c r="B24" s="5" t="s">
        <v>224</v>
      </c>
      <c r="C24" s="5" t="s">
        <v>225</v>
      </c>
      <c r="D24" s="5" t="s">
        <v>226</v>
      </c>
      <c r="E24" s="5" t="s">
        <v>227</v>
      </c>
      <c r="F24" s="5" t="s">
        <v>228</v>
      </c>
      <c r="G24" s="5" t="s">
        <v>229</v>
      </c>
      <c r="H24" s="5" t="s">
        <v>38</v>
      </c>
      <c r="I24" s="5" t="s">
        <v>38</v>
      </c>
      <c r="J24" s="5" t="s">
        <v>161</v>
      </c>
      <c r="K24" s="5" t="s">
        <v>230</v>
      </c>
      <c r="L24" s="5" t="s">
        <v>231</v>
      </c>
      <c r="M24" s="5" t="s">
        <v>232</v>
      </c>
      <c r="N24" s="6" t="s">
        <v>44</v>
      </c>
    </row>
    <row r="25" spans="1:14" ht="76.05" customHeight="1" x14ac:dyDescent="0.3">
      <c r="A25" s="4" t="s">
        <v>233</v>
      </c>
      <c r="B25" s="5" t="s">
        <v>234</v>
      </c>
      <c r="C25" s="5" t="s">
        <v>235</v>
      </c>
      <c r="D25" s="5" t="s">
        <v>236</v>
      </c>
      <c r="E25" s="5" t="s">
        <v>237</v>
      </c>
      <c r="F25" s="5" t="s">
        <v>238</v>
      </c>
      <c r="G25" s="5" t="s">
        <v>239</v>
      </c>
      <c r="H25" s="5" t="s">
        <v>39</v>
      </c>
      <c r="I25" s="5" t="s">
        <v>39</v>
      </c>
      <c r="J25" s="5" t="s">
        <v>122</v>
      </c>
      <c r="K25" s="5" t="s">
        <v>162</v>
      </c>
      <c r="L25" s="5" t="s">
        <v>240</v>
      </c>
      <c r="M25" s="5" t="s">
        <v>241</v>
      </c>
      <c r="N25" s="6" t="s">
        <v>44</v>
      </c>
    </row>
    <row r="26" spans="1:14" ht="76.05" customHeight="1" x14ac:dyDescent="0.3">
      <c r="A26" s="4" t="s">
        <v>242</v>
      </c>
      <c r="B26" s="5" t="s">
        <v>243</v>
      </c>
      <c r="C26" s="5" t="s">
        <v>244</v>
      </c>
      <c r="D26" s="5" t="s">
        <v>245</v>
      </c>
      <c r="E26" s="5" t="s">
        <v>246</v>
      </c>
      <c r="F26" s="5" t="s">
        <v>247</v>
      </c>
      <c r="G26" s="5" t="s">
        <v>248</v>
      </c>
      <c r="H26" s="5" t="s">
        <v>39</v>
      </c>
      <c r="I26" s="5" t="s">
        <v>39</v>
      </c>
      <c r="J26" s="5" t="s">
        <v>161</v>
      </c>
      <c r="K26" s="5" t="s">
        <v>249</v>
      </c>
      <c r="L26" s="5" t="s">
        <v>250</v>
      </c>
      <c r="M26" s="5" t="s">
        <v>251</v>
      </c>
      <c r="N26" s="6" t="s">
        <v>44</v>
      </c>
    </row>
  </sheetData>
  <mergeCells count="2">
    <mergeCell ref="A1:N1"/>
    <mergeCell ref="A2:N2"/>
  </mergeCells>
  <conditionalFormatting sqref="H5:H26">
    <cfRule type="containsText" dxfId="1" priority="1" operator="containsText" text="High">
      <formula>NOT(ISERROR(SEARCH("High",H5)))</formula>
    </cfRule>
  </conditionalFormatting>
  <conditionalFormatting sqref="J5:J26">
    <cfRule type="expression" dxfId="0" priority="2">
      <formula>LEFT(J5,3)="Now"</formula>
    </cfRule>
  </conditionalFormatting>
  <dataValidations count="1">
    <dataValidation type="list" allowBlank="1" showInputMessage="1" showErrorMessage="1" sqref="N5:N26">
      <formula1>"Not started,In progress,Blocked,Complete"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2" width="16.6640625" customWidth="1"/>
    <col min="3" max="3" width="24.6640625" customWidth="1"/>
    <col min="4" max="4" width="32.6640625" customWidth="1"/>
    <col min="5" max="5" width="30.6640625" customWidth="1"/>
    <col min="6" max="6" width="24.6640625" customWidth="1"/>
    <col min="7" max="7" width="34.6640625" customWidth="1"/>
    <col min="8" max="8" width="29.6640625" customWidth="1"/>
  </cols>
  <sheetData>
    <row r="1" spans="1:8" ht="30" customHeight="1" x14ac:dyDescent="0.3">
      <c r="A1" s="7" t="s">
        <v>252</v>
      </c>
      <c r="B1" s="7"/>
      <c r="C1" s="7"/>
      <c r="D1" s="7"/>
      <c r="E1" s="7"/>
      <c r="F1" s="7"/>
      <c r="G1" s="7"/>
      <c r="H1" s="7"/>
    </row>
    <row r="2" spans="1:8" x14ac:dyDescent="0.3">
      <c r="A2" s="8" t="s">
        <v>253</v>
      </c>
      <c r="B2" s="8"/>
      <c r="C2" s="8"/>
      <c r="D2" s="8"/>
      <c r="E2" s="8"/>
      <c r="F2" s="8"/>
      <c r="G2" s="8"/>
      <c r="H2" s="8"/>
    </row>
    <row r="4" spans="1:8" x14ac:dyDescent="0.3">
      <c r="A4" s="1" t="s">
        <v>26</v>
      </c>
      <c r="B4" s="1" t="s">
        <v>254</v>
      </c>
      <c r="C4" s="1" t="s">
        <v>255</v>
      </c>
      <c r="D4" s="1" t="s">
        <v>256</v>
      </c>
      <c r="E4" s="1" t="s">
        <v>257</v>
      </c>
      <c r="F4" s="1" t="s">
        <v>258</v>
      </c>
      <c r="G4" s="1" t="s">
        <v>259</v>
      </c>
      <c r="H4" s="1" t="s">
        <v>260</v>
      </c>
    </row>
    <row r="5" spans="1:8" ht="91.95" customHeight="1" x14ac:dyDescent="0.3">
      <c r="A5" s="5" t="s">
        <v>261</v>
      </c>
      <c r="B5" s="5" t="s">
        <v>262</v>
      </c>
      <c r="C5" s="5" t="s">
        <v>263</v>
      </c>
      <c r="D5" s="5" t="s">
        <v>264</v>
      </c>
      <c r="E5" s="5" t="s">
        <v>265</v>
      </c>
      <c r="F5" s="5" t="s">
        <v>266</v>
      </c>
      <c r="G5" s="5" t="s">
        <v>267</v>
      </c>
      <c r="H5" s="5" t="s">
        <v>268</v>
      </c>
    </row>
    <row r="6" spans="1:8" ht="91.95" customHeight="1" x14ac:dyDescent="0.3">
      <c r="A6" s="5" t="s">
        <v>269</v>
      </c>
      <c r="B6" s="5" t="s">
        <v>270</v>
      </c>
      <c r="C6" s="5" t="s">
        <v>271</v>
      </c>
      <c r="D6" s="5" t="s">
        <v>272</v>
      </c>
      <c r="E6" s="5" t="s">
        <v>273</v>
      </c>
      <c r="F6" s="5" t="s">
        <v>274</v>
      </c>
      <c r="G6" s="5" t="s">
        <v>275</v>
      </c>
      <c r="H6" s="5" t="s">
        <v>276</v>
      </c>
    </row>
    <row r="7" spans="1:8" ht="91.95" customHeight="1" x14ac:dyDescent="0.3">
      <c r="A7" s="5" t="s">
        <v>277</v>
      </c>
      <c r="B7" s="5" t="s">
        <v>278</v>
      </c>
      <c r="C7" s="5" t="s">
        <v>279</v>
      </c>
      <c r="D7" s="5" t="s">
        <v>280</v>
      </c>
      <c r="E7" s="5" t="s">
        <v>281</v>
      </c>
      <c r="F7" s="5" t="s">
        <v>282</v>
      </c>
      <c r="G7" s="5" t="s">
        <v>283</v>
      </c>
      <c r="H7" s="5" t="s">
        <v>284</v>
      </c>
    </row>
    <row r="9" spans="1:8" x14ac:dyDescent="0.3">
      <c r="A9" s="1" t="s">
        <v>285</v>
      </c>
      <c r="B9" s="1" t="s">
        <v>286</v>
      </c>
      <c r="C9" s="1" t="s">
        <v>38</v>
      </c>
      <c r="D9" s="1" t="s">
        <v>39</v>
      </c>
    </row>
    <row r="10" spans="1:8" ht="18" x14ac:dyDescent="0.35">
      <c r="A10" s="2" t="s">
        <v>40</v>
      </c>
      <c r="B10" s="3">
        <f>COUNTIF('Detailed Plan'!J5:J26,A10)</f>
        <v>10</v>
      </c>
      <c r="C10" s="3">
        <f>COUNTIFS('Detailed Plan'!J5:J26,A10,'Detailed Plan'!H5:H26,"High")</f>
        <v>8</v>
      </c>
      <c r="D10" s="3">
        <f>COUNTIFS('Detailed Plan'!J5:J26,A10,'Detailed Plan'!H5:H26,"Medium")</f>
        <v>2</v>
      </c>
    </row>
    <row r="11" spans="1:8" ht="18" x14ac:dyDescent="0.35">
      <c r="A11" s="2" t="s">
        <v>122</v>
      </c>
      <c r="B11" s="3">
        <f>COUNTIF('Detailed Plan'!J5:J26,A11)</f>
        <v>9</v>
      </c>
      <c r="C11" s="3">
        <f>COUNTIFS('Detailed Plan'!J5:J26,A11,'Detailed Plan'!H5:H26,"High")</f>
        <v>5</v>
      </c>
      <c r="D11" s="3">
        <f>COUNTIFS('Detailed Plan'!J5:J26,A11,'Detailed Plan'!H5:H26,"Medium")</f>
        <v>4</v>
      </c>
    </row>
    <row r="12" spans="1:8" ht="18" x14ac:dyDescent="0.35">
      <c r="A12" s="2" t="s">
        <v>161</v>
      </c>
      <c r="B12" s="3">
        <f>COUNTIF('Detailed Plan'!J5:J26,A12)</f>
        <v>3</v>
      </c>
      <c r="C12" s="3">
        <f>COUNTIFS('Detailed Plan'!J5:J26,A12,'Detailed Plan'!H5:H26,"High")</f>
        <v>1</v>
      </c>
      <c r="D12" s="3">
        <f>COUNTIFS('Detailed Plan'!J5:J26,A12,'Detailed Plan'!H5:H26,"Medium")</f>
        <v>2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Plan</vt:lpstr>
      <vt:lpstr>Roadmap</vt:lpstr>
    </vt:vector>
  </TitlesOfParts>
  <Company>Inkarp Instruments Pvt.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Inkarp Solution Finder Improvement Plan</dc:title>
  <dc:subject>Manager-ready UX improvement plan</dc:subject>
  <dc:creator/>
  <cp:lastModifiedBy>Sharath</cp:lastModifiedBy>
  <dcterms:created xsi:type="dcterms:W3CDTF">2026-10-13T10:46:44Z</dcterms:created>
  <dcterms:modified xsi:type="dcterms:W3CDTF">2026-10-13T12:12:01Z</dcterms:modified>
</cp:coreProperties>
</file>